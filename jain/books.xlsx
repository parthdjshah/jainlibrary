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$MainSitePFin\jainlibrary\jain\"/>
    </mc:Choice>
  </mc:AlternateContent>
  <xr:revisionPtr revIDLastSave="0" documentId="13_ncr:1_{5A066E69-9C58-46B2-AF8F-29D15B77A9A8}" xr6:coauthVersionLast="47" xr6:coauthVersionMax="47" xr10:uidLastSave="{00000000-0000-0000-0000-000000000000}"/>
  <bookViews>
    <workbookView xWindow="1170" yWindow="1065" windowWidth="21600" windowHeight="12645" xr2:uid="{00000000-000D-0000-FFFF-FFFF00000000}"/>
  </bookViews>
  <sheets>
    <sheet name="Books" sheetId="1" r:id="rId1"/>
  </sheets>
  <definedNames>
    <definedName name="_xlnm._FilterDatabase" localSheetId="0" hidden="1">Books!$A$1:$I$42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2" i="1"/>
  <c r="L48" i="1"/>
  <c r="L49" i="1"/>
  <c r="L50" i="1"/>
  <c r="L51" i="1"/>
  <c r="L52" i="1"/>
  <c r="L53" i="1"/>
  <c r="L4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2" i="1"/>
  <c r="G43" i="1"/>
  <c r="J43" i="1"/>
  <c r="G41" i="1"/>
  <c r="G42" i="1"/>
  <c r="G38" i="1"/>
  <c r="G39" i="1"/>
  <c r="G37" i="1"/>
  <c r="J39" i="1"/>
  <c r="J40" i="1"/>
  <c r="A4" i="1"/>
  <c r="A5" i="1"/>
  <c r="A6" i="1"/>
  <c r="A7" i="1"/>
  <c r="A8" i="1"/>
  <c r="A9" i="1"/>
  <c r="A10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41" i="1"/>
  <c r="J42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40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PARTH DEEPAKKUMAR SHAH</author>
  </authors>
  <commentList>
    <comment ref="G1" authorId="0" shapeId="0" xr:uid="{EA0C080F-7125-44A7-8C9A-07661319472E}">
      <text>
        <r>
          <rPr>
            <b/>
            <sz val="9"/>
            <color indexed="81"/>
            <rFont val="Tahoma"/>
            <charset val="1"/>
          </rPr>
          <t>PARTH DEEPAKKUMAR SHAH:</t>
        </r>
        <r>
          <rPr>
            <sz val="9"/>
            <color indexed="81"/>
            <rFont val="Tahoma"/>
            <charset val="1"/>
          </rPr>
          <t xml:space="preserve">
Some have index.html</t>
        </r>
      </text>
    </comment>
    <comment ref="K1" authorId="0" shapeId="0" xr:uid="{D07E86AE-8AD9-4AA3-A640-72575E5AEBFE}">
      <text>
        <r>
          <rPr>
            <b/>
            <sz val="9"/>
            <color indexed="81"/>
            <rFont val="Tahoma"/>
            <charset val="1"/>
          </rPr>
          <t>PARTH DEEPAKKUMAR SHAH:</t>
        </r>
        <r>
          <rPr>
            <sz val="9"/>
            <color indexed="81"/>
            <rFont val="Tahoma"/>
            <charset val="1"/>
          </rPr>
          <t xml:space="preserve">
Put this file names in HTML_FILES = [ in html2epub3.py</t>
        </r>
      </text>
    </comment>
  </commentList>
</comments>
</file>

<file path=xl/sharedStrings.xml><?xml version="1.0" encoding="utf-8"?>
<sst xmlns="http://schemas.openxmlformats.org/spreadsheetml/2006/main" count="228" uniqueCount="82">
  <si>
    <t>BookID</t>
  </si>
  <si>
    <t>BookName</t>
  </si>
  <si>
    <t>Book Type</t>
  </si>
  <si>
    <t>Author</t>
  </si>
  <si>
    <t>Language</t>
  </si>
  <si>
    <t>HTML</t>
  </si>
  <si>
    <t>EPUB</t>
  </si>
  <si>
    <t>PDF</t>
  </si>
  <si>
    <t>1-Acharanga Sutra Part 1</t>
  </si>
  <si>
    <t>Aanga Aagam</t>
  </si>
  <si>
    <t>Gujarati</t>
  </si>
  <si>
    <t>1- Acharanga Sutra Part 2</t>
  </si>
  <si>
    <t>2- Suyagadanga Sutra Part 1</t>
  </si>
  <si>
    <t>2 - Suyagadanga Sutra Part 2</t>
  </si>
  <si>
    <t>3 - Thananga Sutra Part 1</t>
  </si>
  <si>
    <t>3 - Thananga Sutra Part 2</t>
  </si>
  <si>
    <t>4 - Samvayanga Sutra</t>
  </si>
  <si>
    <t>5 - Bhagavati Sutra Part 1</t>
  </si>
  <si>
    <t>5 - Bhagavati Sutra Part 2</t>
  </si>
  <si>
    <t>5 - Bhagavati Sutra Part 3</t>
  </si>
  <si>
    <t>5 - Bhagavati Sutra Part 4</t>
  </si>
  <si>
    <t>5 - Bhagavati Sutra Part 5</t>
  </si>
  <si>
    <t>6 - Gnatadharmakatha Sutra</t>
  </si>
  <si>
    <t>7 - Upasakadashanga Sutra</t>
  </si>
  <si>
    <t>8 - Antagada Sutra</t>
  </si>
  <si>
    <t>9 - Anuttarovavai Sutra</t>
  </si>
  <si>
    <t>10 - Prashnavyakaran Sutra</t>
  </si>
  <si>
    <t>11 - Vipaka Sutra</t>
  </si>
  <si>
    <t>1 - Uvvavai Sutra</t>
  </si>
  <si>
    <t>Upang Aagam</t>
  </si>
  <si>
    <t>2 - Raipaseniya Sutra</t>
  </si>
  <si>
    <t>3- JeevaJeevabhigam Sutra</t>
  </si>
  <si>
    <t>4- Pannavanna Sutra Part 1</t>
  </si>
  <si>
    <t>4- Pannavanna Sutra Part 2</t>
  </si>
  <si>
    <t>4- Pannavanna Sutra Part 3</t>
  </si>
  <si>
    <t>5- Jambudhvip Sutra</t>
  </si>
  <si>
    <t>6- Surya Pragnapti, 7- Chandra Pragnapti Sutra</t>
  </si>
  <si>
    <t>8- Niryavalika, 9- Kalpavatansika, 10- Pushpika, 11- Pushpachulika, 12- Vrasnidasah Sutra</t>
  </si>
  <si>
    <t>1- Utaradhyayan Sutra Part 1</t>
  </si>
  <si>
    <t>Mool Sutras</t>
  </si>
  <si>
    <t>1- Utaradhyayan Sutra Part 2</t>
  </si>
  <si>
    <t>2 - Dasvaikalika Sutra</t>
  </si>
  <si>
    <t>3- Nandi Sutra</t>
  </si>
  <si>
    <t>4- Anuyogdwar Sutra</t>
  </si>
  <si>
    <t>1- Nishith Sutra</t>
  </si>
  <si>
    <t>Chhed Sutras</t>
  </si>
  <si>
    <t>2- Dashashrut, 3- Bruhatkalpa, 4- Vyavahar Sutra</t>
  </si>
  <si>
    <t>Aavasyaka Sutra</t>
  </si>
  <si>
    <t>Prashnottar Ratnamala Part 1</t>
  </si>
  <si>
    <t>Explaination</t>
  </si>
  <si>
    <t>Subodhiben Masalia</t>
  </si>
  <si>
    <t>QnA</t>
  </si>
  <si>
    <t>Prashnottar Ratnamala Part 2</t>
  </si>
  <si>
    <t>Atmanusasana - Precept on the Soul</t>
  </si>
  <si>
    <t>Vijay K Jain</t>
  </si>
  <si>
    <t>English</t>
  </si>
  <si>
    <t>Self Discipline</t>
  </si>
  <si>
    <t>Jain Christian Samvad - Jain Dharma ane khristi dharma no mukablo</t>
  </si>
  <si>
    <t>Buddisagar Suri</t>
  </si>
  <si>
    <t>Comparative Study</t>
  </si>
  <si>
    <t>Jain Vigyan Part 1 to 6</t>
  </si>
  <si>
    <t>Summary</t>
  </si>
  <si>
    <t>Tags</t>
  </si>
  <si>
    <t>Shashtra, Sthanakvasi</t>
  </si>
  <si>
    <t>md</t>
  </si>
  <si>
    <t>Aagams</t>
  </si>
  <si>
    <t>Prashnottar Ratnamala Part 3</t>
  </si>
  <si>
    <t>Tattvartha</t>
  </si>
  <si>
    <t>Chandrakant Lodaya(JJS)</t>
  </si>
  <si>
    <t>Bhaktaamar Saartha</t>
  </si>
  <si>
    <t>Sutra</t>
  </si>
  <si>
    <t>Mantungasuri</t>
  </si>
  <si>
    <t>Sanskrit</t>
  </si>
  <si>
    <t>Bhaktamar</t>
  </si>
  <si>
    <t>"D:\$MainSitePFin\jainlibrary\jain\Gujarati\Aagams\Aanga Aagam\1-Acharanga Sutra Part 1\1-Acharanga Sutra Part 1.html"</t>
  </si>
  <si>
    <t>"D:\$MainSitePFin\jainlibrary\jain\Gujarati\Aagams\Aanga Aagam\1- Acharanga Sutra Part 2\1- Acharanga Sutra Part 2.html"</t>
  </si>
  <si>
    <t>"D:\$MainSitePFin\jainlibrary\jain\Gujarati\Subodhiben Masalia\QnA\Prashnottar Ratnamala Part 1\Prashnottar Ratnamala Part 1.html"</t>
  </si>
  <si>
    <t>"D:\$MainSitePFin\jainlibrary\jain\Gujarati\Subodhiben Masalia\QnA\Prashnottar Ratnamala Part 2\Prashnottar Ratnamala Part 2.html"</t>
  </si>
  <si>
    <t>"D:\$MainSitePFin\jainlibrary\jain\Gujarati\Subodhiben Masalia\QnA\Prashnottar Ratnamala Part 3\Prashnottar Ratnamala Part 3.html"</t>
  </si>
  <si>
    <t>"D:\$MainSitePFin\jainlibrary\jain\Gujarati\Buddisagar Suri\Explaination\Jain Christian Samvad - Jain Dharma ane khristi dharma no mukablo\Jain Christian Samvad - Jain Dharma ane khristi dharma no mukablo.html"</t>
  </si>
  <si>
    <t>"D:\$MainSitePFin\jainlibrary\jain\Gujarati\Chandrakant Lodaya(JJS)\Tattvartha\Jain Vigyan Part 1 to 6\Jain Vigyan Part 1 to 6.html"</t>
  </si>
  <si>
    <t>for epub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</si>
</sst>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pane ySplit="1" topLeftCell="A23" activePane="bottomLeft" state="frozen"/>
      <selection pane="bottomLeft" activeCell="L11" sqref="L11"/>
    </sheetView>
  </sheetViews>
  <sheetFormatPr defaultRowHeight="15" x14ac:dyDescent="0.25"/>
  <cols>
    <col min="1" max="1" width="5.28515625" customWidth="1"/>
    <col min="2" max="2" width="45" customWidth="1"/>
    <col min="3" max="3" width="22" customWidth="1"/>
    <col min="4" max="4" width="32" customWidth="1"/>
    <col min="5" max="5" width="14" customWidth="1"/>
    <col min="6" max="6" width="24" customWidth="1"/>
    <col min="7" max="7" width="133.140625" customWidth="1"/>
    <col min="8" max="9" width="70" customWidth="1"/>
    <col min="10" max="10" width="46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62</v>
      </c>
      <c r="G1" t="s">
        <v>5</v>
      </c>
      <c r="H1" t="s">
        <v>6</v>
      </c>
      <c r="I1" t="s">
        <v>7</v>
      </c>
      <c r="J1" t="s">
        <v>64</v>
      </c>
      <c r="K1" t="s">
        <v>81</v>
      </c>
    </row>
    <row r="2" spans="1:11" x14ac:dyDescent="0.25">
      <c r="A2">
        <v>1</v>
      </c>
      <c r="B2" t="s">
        <v>8</v>
      </c>
      <c r="C2" t="s">
        <v>9</v>
      </c>
      <c r="D2" t="s">
        <v>65</v>
      </c>
      <c r="E2" t="s">
        <v>10</v>
      </c>
      <c r="F2" t="s">
        <v>63</v>
      </c>
      <c r="G2" t="str">
        <f>E2&amp;"/"&amp;D2&amp;"/"&amp;C2&amp;"/"&amp;B2&amp;"/"&amp;B2&amp;".html"</f>
        <v>Gujarati/Aagams/Aanga Aagam/1-Acharanga Sutra Part 1/1-Acharanga Sutra Part 1.html</v>
      </c>
      <c r="H2" t="str">
        <f>"EPUB/"&amp;B2&amp;".epub"</f>
        <v>EPUB/1-Acharanga Sutra Part 1.epub</v>
      </c>
      <c r="I2" t="str">
        <f>"PDF/"&amp;B2&amp;".pdf"</f>
        <v>PDF/1-Acharanga Sutra Part 1.pdf</v>
      </c>
      <c r="J2" s="1" t="str">
        <f>"md "&amp;""""&amp;"D:\$MainSitePFin\jainlibrary\jain\"&amp;E2&amp;"\"&amp;D2&amp;"\"&amp;C2&amp;"\"&amp;B2&amp;""""</f>
        <v>md "D:\$MainSitePFin\jainlibrary\jain\Gujarati\Aagams\Aanga Aagam\1-Acharanga Sutra Part 1"</v>
      </c>
      <c r="K2" t="str">
        <f>"r"&amp;""""&amp;"D:\$MainSitePFin\jainlibrary\jain\"&amp;E2&amp;"\"&amp;D2&amp;"\"&amp;C2&amp;"\"&amp;B2&amp;"\"&amp;B2&amp;".html"&amp;""""&amp;","</f>
        <v>r"D:\$MainSitePFin\jainlibrary\jain\Gujarati\Aagams\Aanga Aagam\1-Acharanga Sutra Part 1\1-Acharanga Sutra Part 1.html",</v>
      </c>
    </row>
    <row r="3" spans="1:11" x14ac:dyDescent="0.25">
      <c r="A3">
        <f>+A2+1</f>
        <v>2</v>
      </c>
      <c r="B3" t="s">
        <v>11</v>
      </c>
      <c r="C3" t="s">
        <v>9</v>
      </c>
      <c r="D3" t="s">
        <v>65</v>
      </c>
      <c r="E3" t="s">
        <v>10</v>
      </c>
      <c r="F3" t="s">
        <v>63</v>
      </c>
      <c r="G3" t="str">
        <f t="shared" ref="G3:G43" si="0">E3&amp;"/"&amp;D3&amp;"/"&amp;C3&amp;"/"&amp;B3&amp;"/"&amp;B3&amp;".html"</f>
        <v>Gujarati/Aagams/Aanga Aagam/1- Acharanga Sutra Part 2/1- Acharanga Sutra Part 2.html</v>
      </c>
      <c r="H3" t="str">
        <f t="shared" ref="H3:H43" si="1">"EPUB/"&amp;B3&amp;".epub"</f>
        <v>EPUB/1- Acharanga Sutra Part 2.epub</v>
      </c>
      <c r="I3" t="str">
        <f t="shared" ref="I3:I43" si="2">"PDF/"&amp;B3&amp;".pdf"</f>
        <v>PDF/1- Acharanga Sutra Part 2.pdf</v>
      </c>
      <c r="J3" s="1" t="str">
        <f t="shared" ref="J3:J43" si="3">"md "&amp;""""&amp;"D:\$MainSitePFin\jainlibrary\jain\"&amp;E3&amp;"\"&amp;D3&amp;"\"&amp;C3&amp;"\"&amp;B3&amp;""""</f>
        <v>md "D:\$MainSitePFin\jainlibrary\jain\Gujarati\Aagams\Aanga Aagam\1- Acharanga Sutra Part 2"</v>
      </c>
      <c r="K3" t="str">
        <f t="shared" ref="K3:K43" si="4">"r"&amp;""""&amp;"D:\$MainSitePFin\jainlibrary\jain\"&amp;E3&amp;"\"&amp;D3&amp;"\"&amp;C3&amp;"\"&amp;B3&amp;"\"&amp;B3&amp;".html"&amp;""""&amp;","</f>
        <v>r"D:\$MainSitePFin\jainlibrary\jain\Gujarati\Aagams\Aanga Aagam\1- Acharanga Sutra Part 2\1- Acharanga Sutra Part 2.html",</v>
      </c>
    </row>
    <row r="4" spans="1:11" x14ac:dyDescent="0.25">
      <c r="A4">
        <f t="shared" ref="A4:A42" si="5">+A3+1</f>
        <v>3</v>
      </c>
      <c r="B4" t="s">
        <v>12</v>
      </c>
      <c r="C4" t="s">
        <v>9</v>
      </c>
      <c r="D4" t="s">
        <v>65</v>
      </c>
      <c r="E4" t="s">
        <v>10</v>
      </c>
      <c r="F4" t="s">
        <v>63</v>
      </c>
      <c r="G4" t="str">
        <f t="shared" si="0"/>
        <v>Gujarati/Aagams/Aanga Aagam/2- Suyagadanga Sutra Part 1/2- Suyagadanga Sutra Part 1.html</v>
      </c>
      <c r="H4" t="str">
        <f t="shared" si="1"/>
        <v>EPUB/2- Suyagadanga Sutra Part 1.epub</v>
      </c>
      <c r="I4" t="str">
        <f t="shared" si="2"/>
        <v>PDF/2- Suyagadanga Sutra Part 1.pdf</v>
      </c>
      <c r="J4" s="1" t="str">
        <f t="shared" si="3"/>
        <v>md "D:\$MainSitePFin\jainlibrary\jain\Gujarati\Aagams\Aanga Aagam\2- Suyagadanga Sutra Part 1"</v>
      </c>
      <c r="K4" t="str">
        <f t="shared" si="4"/>
        <v>r"D:\$MainSitePFin\jainlibrary\jain\Gujarati\Aagams\Aanga Aagam\2- Suyagadanga Sutra Part 1\2- Suyagadanga Sutra Part 1.html",</v>
      </c>
    </row>
    <row r="5" spans="1:11" x14ac:dyDescent="0.25">
      <c r="A5">
        <f t="shared" si="5"/>
        <v>4</v>
      </c>
      <c r="B5" t="s">
        <v>13</v>
      </c>
      <c r="C5" t="s">
        <v>9</v>
      </c>
      <c r="D5" t="s">
        <v>65</v>
      </c>
      <c r="E5" t="s">
        <v>10</v>
      </c>
      <c r="F5" t="s">
        <v>63</v>
      </c>
      <c r="G5" t="str">
        <f t="shared" si="0"/>
        <v>Gujarati/Aagams/Aanga Aagam/2 - Suyagadanga Sutra Part 2/2 - Suyagadanga Sutra Part 2.html</v>
      </c>
      <c r="H5" t="str">
        <f t="shared" si="1"/>
        <v>EPUB/2 - Suyagadanga Sutra Part 2.epub</v>
      </c>
      <c r="I5" t="str">
        <f t="shared" si="2"/>
        <v>PDF/2 - Suyagadanga Sutra Part 2.pdf</v>
      </c>
      <c r="J5" s="1" t="str">
        <f t="shared" si="3"/>
        <v>md "D:\$MainSitePFin\jainlibrary\jain\Gujarati\Aagams\Aanga Aagam\2 - Suyagadanga Sutra Part 2"</v>
      </c>
      <c r="K5" t="str">
        <f t="shared" si="4"/>
        <v>r"D:\$MainSitePFin\jainlibrary\jain\Gujarati\Aagams\Aanga Aagam\2 - Suyagadanga Sutra Part 2\2 - Suyagadanga Sutra Part 2.html",</v>
      </c>
    </row>
    <row r="6" spans="1:11" x14ac:dyDescent="0.25">
      <c r="A6">
        <f t="shared" si="5"/>
        <v>5</v>
      </c>
      <c r="B6" t="s">
        <v>14</v>
      </c>
      <c r="C6" t="s">
        <v>9</v>
      </c>
      <c r="D6" t="s">
        <v>65</v>
      </c>
      <c r="E6" t="s">
        <v>10</v>
      </c>
      <c r="F6" t="s">
        <v>63</v>
      </c>
      <c r="G6" t="str">
        <f t="shared" si="0"/>
        <v>Gujarati/Aagams/Aanga Aagam/3 - Thananga Sutra Part 1/3 - Thananga Sutra Part 1.html</v>
      </c>
      <c r="H6" t="str">
        <f t="shared" si="1"/>
        <v>EPUB/3 - Thananga Sutra Part 1.epub</v>
      </c>
      <c r="I6" t="str">
        <f t="shared" si="2"/>
        <v>PDF/3 - Thananga Sutra Part 1.pdf</v>
      </c>
      <c r="J6" s="1" t="str">
        <f t="shared" si="3"/>
        <v>md "D:\$MainSitePFin\jainlibrary\jain\Gujarati\Aagams\Aanga Aagam\3 - Thananga Sutra Part 1"</v>
      </c>
      <c r="K6" t="str">
        <f t="shared" si="4"/>
        <v>r"D:\$MainSitePFin\jainlibrary\jain\Gujarati\Aagams\Aanga Aagam\3 - Thananga Sutra Part 1\3 - Thananga Sutra Part 1.html",</v>
      </c>
    </row>
    <row r="7" spans="1:11" x14ac:dyDescent="0.25">
      <c r="A7">
        <f t="shared" si="5"/>
        <v>6</v>
      </c>
      <c r="B7" t="s">
        <v>15</v>
      </c>
      <c r="C7" t="s">
        <v>9</v>
      </c>
      <c r="D7" t="s">
        <v>65</v>
      </c>
      <c r="E7" t="s">
        <v>10</v>
      </c>
      <c r="F7" t="s">
        <v>63</v>
      </c>
      <c r="G7" t="str">
        <f t="shared" si="0"/>
        <v>Gujarati/Aagams/Aanga Aagam/3 - Thananga Sutra Part 2/3 - Thananga Sutra Part 2.html</v>
      </c>
      <c r="H7" t="str">
        <f t="shared" si="1"/>
        <v>EPUB/3 - Thananga Sutra Part 2.epub</v>
      </c>
      <c r="I7" t="str">
        <f t="shared" si="2"/>
        <v>PDF/3 - Thananga Sutra Part 2.pdf</v>
      </c>
      <c r="J7" s="1" t="str">
        <f t="shared" si="3"/>
        <v>md "D:\$MainSitePFin\jainlibrary\jain\Gujarati\Aagams\Aanga Aagam\3 - Thananga Sutra Part 2"</v>
      </c>
      <c r="K7" t="str">
        <f t="shared" si="4"/>
        <v>r"D:\$MainSitePFin\jainlibrary\jain\Gujarati\Aagams\Aanga Aagam\3 - Thananga Sutra Part 2\3 - Thananga Sutra Part 2.html",</v>
      </c>
    </row>
    <row r="8" spans="1:11" x14ac:dyDescent="0.25">
      <c r="A8">
        <f t="shared" si="5"/>
        <v>7</v>
      </c>
      <c r="B8" t="s">
        <v>16</v>
      </c>
      <c r="C8" t="s">
        <v>9</v>
      </c>
      <c r="D8" t="s">
        <v>65</v>
      </c>
      <c r="E8" t="s">
        <v>10</v>
      </c>
      <c r="F8" t="s">
        <v>63</v>
      </c>
      <c r="G8" t="str">
        <f t="shared" si="0"/>
        <v>Gujarati/Aagams/Aanga Aagam/4 - Samvayanga Sutra/4 - Samvayanga Sutra.html</v>
      </c>
      <c r="H8" t="str">
        <f t="shared" si="1"/>
        <v>EPUB/4 - Samvayanga Sutra.epub</v>
      </c>
      <c r="I8" t="str">
        <f t="shared" si="2"/>
        <v>PDF/4 - Samvayanga Sutra.pdf</v>
      </c>
      <c r="J8" s="1" t="str">
        <f t="shared" si="3"/>
        <v>md "D:\$MainSitePFin\jainlibrary\jain\Gujarati\Aagams\Aanga Aagam\4 - Samvayanga Sutra"</v>
      </c>
      <c r="K8" t="str">
        <f t="shared" si="4"/>
        <v>r"D:\$MainSitePFin\jainlibrary\jain\Gujarati\Aagams\Aanga Aagam\4 - Samvayanga Sutra\4 - Samvayanga Sutra.html",</v>
      </c>
    </row>
    <row r="9" spans="1:11" x14ac:dyDescent="0.25">
      <c r="A9">
        <f t="shared" si="5"/>
        <v>8</v>
      </c>
      <c r="B9" t="s">
        <v>17</v>
      </c>
      <c r="C9" t="s">
        <v>9</v>
      </c>
      <c r="D9" t="s">
        <v>65</v>
      </c>
      <c r="E9" t="s">
        <v>10</v>
      </c>
      <c r="F9" t="s">
        <v>63</v>
      </c>
      <c r="G9" t="str">
        <f t="shared" si="0"/>
        <v>Gujarati/Aagams/Aanga Aagam/5 - Bhagavati Sutra Part 1/5 - Bhagavati Sutra Part 1.html</v>
      </c>
      <c r="H9" t="str">
        <f t="shared" si="1"/>
        <v>EPUB/5 - Bhagavati Sutra Part 1.epub</v>
      </c>
      <c r="I9" t="str">
        <f t="shared" si="2"/>
        <v>PDF/5 - Bhagavati Sutra Part 1.pdf</v>
      </c>
      <c r="J9" s="1" t="str">
        <f t="shared" si="3"/>
        <v>md "D:\$MainSitePFin\jainlibrary\jain\Gujarati\Aagams\Aanga Aagam\5 - Bhagavati Sutra Part 1"</v>
      </c>
      <c r="K9" t="str">
        <f t="shared" si="4"/>
        <v>r"D:\$MainSitePFin\jainlibrary\jain\Gujarati\Aagams\Aanga Aagam\5 - Bhagavati Sutra Part 1\5 - Bhagavati Sutra Part 1.html",</v>
      </c>
    </row>
    <row r="10" spans="1:11" x14ac:dyDescent="0.25">
      <c r="A10">
        <f t="shared" si="5"/>
        <v>9</v>
      </c>
      <c r="B10" t="s">
        <v>18</v>
      </c>
      <c r="C10" t="s">
        <v>9</v>
      </c>
      <c r="D10" t="s">
        <v>65</v>
      </c>
      <c r="E10" t="s">
        <v>10</v>
      </c>
      <c r="F10" t="s">
        <v>63</v>
      </c>
      <c r="G10" t="str">
        <f t="shared" si="0"/>
        <v>Gujarati/Aagams/Aanga Aagam/5 - Bhagavati Sutra Part 2/5 - Bhagavati Sutra Part 2.html</v>
      </c>
      <c r="H10" t="str">
        <f t="shared" si="1"/>
        <v>EPUB/5 - Bhagavati Sutra Part 2.epub</v>
      </c>
      <c r="I10" t="str">
        <f t="shared" si="2"/>
        <v>PDF/5 - Bhagavati Sutra Part 2.pdf</v>
      </c>
      <c r="J10" s="1" t="str">
        <f t="shared" si="3"/>
        <v>md "D:\$MainSitePFin\jainlibrary\jain\Gujarati\Aagams\Aanga Aagam\5 - Bhagavati Sutra Part 2"</v>
      </c>
      <c r="K10" t="str">
        <f t="shared" si="4"/>
        <v>r"D:\$MainSitePFin\jainlibrary\jain\Gujarati\Aagams\Aanga Aagam\5 - Bhagavati Sutra Part 2\5 - Bhagavati Sutra Part 2.html",</v>
      </c>
    </row>
    <row r="11" spans="1:11" x14ac:dyDescent="0.25">
      <c r="A11">
        <f t="shared" si="5"/>
        <v>10</v>
      </c>
      <c r="B11" t="s">
        <v>19</v>
      </c>
      <c r="C11" t="s">
        <v>9</v>
      </c>
      <c r="D11" t="s">
        <v>65</v>
      </c>
      <c r="E11" t="s">
        <v>10</v>
      </c>
      <c r="F11" t="s">
        <v>63</v>
      </c>
      <c r="G11" t="str">
        <f t="shared" si="0"/>
        <v>Gujarati/Aagams/Aanga Aagam/5 - Bhagavati Sutra Part 3/5 - Bhagavati Sutra Part 3.html</v>
      </c>
      <c r="H11" t="str">
        <f t="shared" si="1"/>
        <v>EPUB/5 - Bhagavati Sutra Part 3.epub</v>
      </c>
      <c r="I11" t="str">
        <f t="shared" si="2"/>
        <v>PDF/5 - Bhagavati Sutra Part 3.pdf</v>
      </c>
      <c r="J11" s="1" t="str">
        <f t="shared" si="3"/>
        <v>md "D:\$MainSitePFin\jainlibrary\jain\Gujarati\Aagams\Aanga Aagam\5 - Bhagavati Sutra Part 3"</v>
      </c>
      <c r="K11" t="str">
        <f t="shared" si="4"/>
        <v>r"D:\$MainSitePFin\jainlibrary\jain\Gujarati\Aagams\Aanga Aagam\5 - Bhagavati Sutra Part 3\5 - Bhagavati Sutra Part 3.html",</v>
      </c>
    </row>
    <row r="12" spans="1:11" x14ac:dyDescent="0.25">
      <c r="A12">
        <f t="shared" si="5"/>
        <v>11</v>
      </c>
      <c r="B12" t="s">
        <v>20</v>
      </c>
      <c r="C12" t="s">
        <v>9</v>
      </c>
      <c r="D12" t="s">
        <v>65</v>
      </c>
      <c r="E12" t="s">
        <v>10</v>
      </c>
      <c r="F12" t="s">
        <v>63</v>
      </c>
      <c r="G12" t="str">
        <f t="shared" si="0"/>
        <v>Gujarati/Aagams/Aanga Aagam/5 - Bhagavati Sutra Part 4/5 - Bhagavati Sutra Part 4.html</v>
      </c>
      <c r="H12" t="str">
        <f t="shared" si="1"/>
        <v>EPUB/5 - Bhagavati Sutra Part 4.epub</v>
      </c>
      <c r="I12" t="str">
        <f t="shared" si="2"/>
        <v>PDF/5 - Bhagavati Sutra Part 4.pdf</v>
      </c>
      <c r="J12" s="1" t="str">
        <f t="shared" si="3"/>
        <v>md "D:\$MainSitePFin\jainlibrary\jain\Gujarati\Aagams\Aanga Aagam\5 - Bhagavati Sutra Part 4"</v>
      </c>
      <c r="K12" t="str">
        <f t="shared" si="4"/>
        <v>r"D:\$MainSitePFin\jainlibrary\jain\Gujarati\Aagams\Aanga Aagam\5 - Bhagavati Sutra Part 4\5 - Bhagavati Sutra Part 4.html",</v>
      </c>
    </row>
    <row r="13" spans="1:11" x14ac:dyDescent="0.25">
      <c r="A13">
        <f t="shared" si="5"/>
        <v>12</v>
      </c>
      <c r="B13" t="s">
        <v>21</v>
      </c>
      <c r="C13" t="s">
        <v>9</v>
      </c>
      <c r="D13" t="s">
        <v>65</v>
      </c>
      <c r="E13" t="s">
        <v>10</v>
      </c>
      <c r="F13" t="s">
        <v>63</v>
      </c>
      <c r="G13" t="str">
        <f t="shared" si="0"/>
        <v>Gujarati/Aagams/Aanga Aagam/5 - Bhagavati Sutra Part 5/5 - Bhagavati Sutra Part 5.html</v>
      </c>
      <c r="H13" t="str">
        <f t="shared" si="1"/>
        <v>EPUB/5 - Bhagavati Sutra Part 5.epub</v>
      </c>
      <c r="I13" t="str">
        <f t="shared" si="2"/>
        <v>PDF/5 - Bhagavati Sutra Part 5.pdf</v>
      </c>
      <c r="J13" s="1" t="str">
        <f t="shared" si="3"/>
        <v>md "D:\$MainSitePFin\jainlibrary\jain\Gujarati\Aagams\Aanga Aagam\5 - Bhagavati Sutra Part 5"</v>
      </c>
      <c r="K13" t="str">
        <f t="shared" si="4"/>
        <v>r"D:\$MainSitePFin\jainlibrary\jain\Gujarati\Aagams\Aanga Aagam\5 - Bhagavati Sutra Part 5\5 - Bhagavati Sutra Part 5.html",</v>
      </c>
    </row>
    <row r="14" spans="1:11" x14ac:dyDescent="0.25">
      <c r="A14">
        <f t="shared" si="5"/>
        <v>13</v>
      </c>
      <c r="B14" t="s">
        <v>22</v>
      </c>
      <c r="C14" t="s">
        <v>9</v>
      </c>
      <c r="D14" t="s">
        <v>65</v>
      </c>
      <c r="E14" t="s">
        <v>10</v>
      </c>
      <c r="F14" t="s">
        <v>63</v>
      </c>
      <c r="G14" t="str">
        <f t="shared" si="0"/>
        <v>Gujarati/Aagams/Aanga Aagam/6 - Gnatadharmakatha Sutra/6 - Gnatadharmakatha Sutra.html</v>
      </c>
      <c r="H14" t="str">
        <f t="shared" si="1"/>
        <v>EPUB/6 - Gnatadharmakatha Sutra.epub</v>
      </c>
      <c r="I14" t="str">
        <f t="shared" si="2"/>
        <v>PDF/6 - Gnatadharmakatha Sutra.pdf</v>
      </c>
      <c r="J14" s="1" t="str">
        <f t="shared" si="3"/>
        <v>md "D:\$MainSitePFin\jainlibrary\jain\Gujarati\Aagams\Aanga Aagam\6 - Gnatadharmakatha Sutra"</v>
      </c>
      <c r="K14" t="str">
        <f t="shared" si="4"/>
        <v>r"D:\$MainSitePFin\jainlibrary\jain\Gujarati\Aagams\Aanga Aagam\6 - Gnatadharmakatha Sutra\6 - Gnatadharmakatha Sutra.html",</v>
      </c>
    </row>
    <row r="15" spans="1:11" x14ac:dyDescent="0.25">
      <c r="A15">
        <f t="shared" si="5"/>
        <v>14</v>
      </c>
      <c r="B15" t="s">
        <v>23</v>
      </c>
      <c r="C15" t="s">
        <v>9</v>
      </c>
      <c r="D15" t="s">
        <v>65</v>
      </c>
      <c r="E15" t="s">
        <v>10</v>
      </c>
      <c r="F15" t="s">
        <v>63</v>
      </c>
      <c r="G15" t="str">
        <f t="shared" si="0"/>
        <v>Gujarati/Aagams/Aanga Aagam/7 - Upasakadashanga Sutra/7 - Upasakadashanga Sutra.html</v>
      </c>
      <c r="H15" t="str">
        <f t="shared" si="1"/>
        <v>EPUB/7 - Upasakadashanga Sutra.epub</v>
      </c>
      <c r="I15" t="str">
        <f t="shared" si="2"/>
        <v>PDF/7 - Upasakadashanga Sutra.pdf</v>
      </c>
      <c r="J15" s="1" t="str">
        <f t="shared" si="3"/>
        <v>md "D:\$MainSitePFin\jainlibrary\jain\Gujarati\Aagams\Aanga Aagam\7 - Upasakadashanga Sutra"</v>
      </c>
      <c r="K15" t="str">
        <f t="shared" si="4"/>
        <v>r"D:\$MainSitePFin\jainlibrary\jain\Gujarati\Aagams\Aanga Aagam\7 - Upasakadashanga Sutra\7 - Upasakadashanga Sutra.html",</v>
      </c>
    </row>
    <row r="16" spans="1:11" x14ac:dyDescent="0.25">
      <c r="A16">
        <f t="shared" si="5"/>
        <v>15</v>
      </c>
      <c r="B16" t="s">
        <v>24</v>
      </c>
      <c r="C16" t="s">
        <v>9</v>
      </c>
      <c r="D16" t="s">
        <v>65</v>
      </c>
      <c r="E16" t="s">
        <v>10</v>
      </c>
      <c r="F16" t="s">
        <v>63</v>
      </c>
      <c r="G16" t="str">
        <f t="shared" si="0"/>
        <v>Gujarati/Aagams/Aanga Aagam/8 - Antagada Sutra/8 - Antagada Sutra.html</v>
      </c>
      <c r="H16" t="str">
        <f t="shared" si="1"/>
        <v>EPUB/8 - Antagada Sutra.epub</v>
      </c>
      <c r="I16" t="str">
        <f t="shared" si="2"/>
        <v>PDF/8 - Antagada Sutra.pdf</v>
      </c>
      <c r="J16" s="1" t="str">
        <f t="shared" si="3"/>
        <v>md "D:\$MainSitePFin\jainlibrary\jain\Gujarati\Aagams\Aanga Aagam\8 - Antagada Sutra"</v>
      </c>
      <c r="K16" t="str">
        <f t="shared" si="4"/>
        <v>r"D:\$MainSitePFin\jainlibrary\jain\Gujarati\Aagams\Aanga Aagam\8 - Antagada Sutra\8 - Antagada Sutra.html",</v>
      </c>
    </row>
    <row r="17" spans="1:11" x14ac:dyDescent="0.25">
      <c r="A17">
        <f t="shared" si="5"/>
        <v>16</v>
      </c>
      <c r="B17" t="s">
        <v>25</v>
      </c>
      <c r="C17" t="s">
        <v>9</v>
      </c>
      <c r="D17" t="s">
        <v>65</v>
      </c>
      <c r="E17" t="s">
        <v>10</v>
      </c>
      <c r="F17" t="s">
        <v>63</v>
      </c>
      <c r="G17" t="str">
        <f t="shared" si="0"/>
        <v>Gujarati/Aagams/Aanga Aagam/9 - Anuttarovavai Sutra/9 - Anuttarovavai Sutra.html</v>
      </c>
      <c r="H17" t="str">
        <f t="shared" si="1"/>
        <v>EPUB/9 - Anuttarovavai Sutra.epub</v>
      </c>
      <c r="I17" t="str">
        <f t="shared" si="2"/>
        <v>PDF/9 - Anuttarovavai Sutra.pdf</v>
      </c>
      <c r="J17" s="1" t="str">
        <f t="shared" si="3"/>
        <v>md "D:\$MainSitePFin\jainlibrary\jain\Gujarati\Aagams\Aanga Aagam\9 - Anuttarovavai Sutra"</v>
      </c>
      <c r="K17" t="str">
        <f t="shared" si="4"/>
        <v>r"D:\$MainSitePFin\jainlibrary\jain\Gujarati\Aagams\Aanga Aagam\9 - Anuttarovavai Sutra\9 - Anuttarovavai Sutra.html",</v>
      </c>
    </row>
    <row r="18" spans="1:11" x14ac:dyDescent="0.25">
      <c r="A18">
        <f t="shared" si="5"/>
        <v>17</v>
      </c>
      <c r="B18" t="s">
        <v>26</v>
      </c>
      <c r="C18" t="s">
        <v>9</v>
      </c>
      <c r="D18" t="s">
        <v>65</v>
      </c>
      <c r="E18" t="s">
        <v>10</v>
      </c>
      <c r="F18" t="s">
        <v>63</v>
      </c>
      <c r="G18" t="str">
        <f t="shared" si="0"/>
        <v>Gujarati/Aagams/Aanga Aagam/10 - Prashnavyakaran Sutra/10 - Prashnavyakaran Sutra.html</v>
      </c>
      <c r="H18" t="str">
        <f t="shared" si="1"/>
        <v>EPUB/10 - Prashnavyakaran Sutra.epub</v>
      </c>
      <c r="I18" t="str">
        <f t="shared" si="2"/>
        <v>PDF/10 - Prashnavyakaran Sutra.pdf</v>
      </c>
      <c r="J18" s="1" t="str">
        <f t="shared" si="3"/>
        <v>md "D:\$MainSitePFin\jainlibrary\jain\Gujarati\Aagams\Aanga Aagam\10 - Prashnavyakaran Sutra"</v>
      </c>
      <c r="K18" t="str">
        <f t="shared" si="4"/>
        <v>r"D:\$MainSitePFin\jainlibrary\jain\Gujarati\Aagams\Aanga Aagam\10 - Prashnavyakaran Sutra\10 - Prashnavyakaran Sutra.html",</v>
      </c>
    </row>
    <row r="19" spans="1:11" x14ac:dyDescent="0.25">
      <c r="A19">
        <f t="shared" si="5"/>
        <v>18</v>
      </c>
      <c r="B19" t="s">
        <v>27</v>
      </c>
      <c r="C19" t="s">
        <v>9</v>
      </c>
      <c r="D19" t="s">
        <v>65</v>
      </c>
      <c r="E19" t="s">
        <v>10</v>
      </c>
      <c r="F19" t="s">
        <v>63</v>
      </c>
      <c r="G19" t="str">
        <f t="shared" si="0"/>
        <v>Gujarati/Aagams/Aanga Aagam/11 - Vipaka Sutra/11 - Vipaka Sutra.html</v>
      </c>
      <c r="H19" t="str">
        <f t="shared" si="1"/>
        <v>EPUB/11 - Vipaka Sutra.epub</v>
      </c>
      <c r="I19" t="str">
        <f t="shared" si="2"/>
        <v>PDF/11 - Vipaka Sutra.pdf</v>
      </c>
      <c r="J19" s="1" t="str">
        <f t="shared" si="3"/>
        <v>md "D:\$MainSitePFin\jainlibrary\jain\Gujarati\Aagams\Aanga Aagam\11 - Vipaka Sutra"</v>
      </c>
      <c r="K19" t="str">
        <f t="shared" si="4"/>
        <v>r"D:\$MainSitePFin\jainlibrary\jain\Gujarati\Aagams\Aanga Aagam\11 - Vipaka Sutra\11 - Vipaka Sutra.html",</v>
      </c>
    </row>
    <row r="20" spans="1:11" x14ac:dyDescent="0.25">
      <c r="A20">
        <f t="shared" si="5"/>
        <v>19</v>
      </c>
      <c r="B20" t="s">
        <v>28</v>
      </c>
      <c r="C20" t="s">
        <v>29</v>
      </c>
      <c r="D20" t="s">
        <v>65</v>
      </c>
      <c r="E20" t="s">
        <v>10</v>
      </c>
      <c r="F20" t="s">
        <v>63</v>
      </c>
      <c r="G20" t="str">
        <f t="shared" si="0"/>
        <v>Gujarati/Aagams/Upang Aagam/1 - Uvvavai Sutra/1 - Uvvavai Sutra.html</v>
      </c>
      <c r="H20" t="str">
        <f t="shared" si="1"/>
        <v>EPUB/1 - Uvvavai Sutra.epub</v>
      </c>
      <c r="I20" t="str">
        <f t="shared" si="2"/>
        <v>PDF/1 - Uvvavai Sutra.pdf</v>
      </c>
      <c r="J20" s="1" t="str">
        <f t="shared" si="3"/>
        <v>md "D:\$MainSitePFin\jainlibrary\jain\Gujarati\Aagams\Upang Aagam\1 - Uvvavai Sutra"</v>
      </c>
      <c r="K20" t="str">
        <f t="shared" si="4"/>
        <v>r"D:\$MainSitePFin\jainlibrary\jain\Gujarati\Aagams\Upang Aagam\1 - Uvvavai Sutra\1 - Uvvavai Sutra.html",</v>
      </c>
    </row>
    <row r="21" spans="1:11" x14ac:dyDescent="0.25">
      <c r="A21">
        <f t="shared" si="5"/>
        <v>20</v>
      </c>
      <c r="B21" t="s">
        <v>30</v>
      </c>
      <c r="C21" t="s">
        <v>29</v>
      </c>
      <c r="D21" t="s">
        <v>65</v>
      </c>
      <c r="E21" t="s">
        <v>10</v>
      </c>
      <c r="F21" t="s">
        <v>63</v>
      </c>
      <c r="G21" t="str">
        <f t="shared" si="0"/>
        <v>Gujarati/Aagams/Upang Aagam/2 - Raipaseniya Sutra/2 - Raipaseniya Sutra.html</v>
      </c>
      <c r="H21" t="str">
        <f t="shared" si="1"/>
        <v>EPUB/2 - Raipaseniya Sutra.epub</v>
      </c>
      <c r="I21" t="str">
        <f t="shared" si="2"/>
        <v>PDF/2 - Raipaseniya Sutra.pdf</v>
      </c>
      <c r="J21" s="1" t="str">
        <f t="shared" si="3"/>
        <v>md "D:\$MainSitePFin\jainlibrary\jain\Gujarati\Aagams\Upang Aagam\2 - Raipaseniya Sutra"</v>
      </c>
      <c r="K21" t="str">
        <f t="shared" si="4"/>
        <v>r"D:\$MainSitePFin\jainlibrary\jain\Gujarati\Aagams\Upang Aagam\2 - Raipaseniya Sutra\2 - Raipaseniya Sutra.html",</v>
      </c>
    </row>
    <row r="22" spans="1:11" x14ac:dyDescent="0.25">
      <c r="A22">
        <f t="shared" si="5"/>
        <v>21</v>
      </c>
      <c r="B22" t="s">
        <v>31</v>
      </c>
      <c r="C22" t="s">
        <v>29</v>
      </c>
      <c r="D22" t="s">
        <v>65</v>
      </c>
      <c r="E22" t="s">
        <v>10</v>
      </c>
      <c r="F22" t="s">
        <v>63</v>
      </c>
      <c r="G22" t="str">
        <f t="shared" si="0"/>
        <v>Gujarati/Aagams/Upang Aagam/3- JeevaJeevabhigam Sutra/3- JeevaJeevabhigam Sutra.html</v>
      </c>
      <c r="H22" t="str">
        <f t="shared" si="1"/>
        <v>EPUB/3- JeevaJeevabhigam Sutra.epub</v>
      </c>
      <c r="I22" t="str">
        <f t="shared" si="2"/>
        <v>PDF/3- JeevaJeevabhigam Sutra.pdf</v>
      </c>
      <c r="J22" s="1" t="str">
        <f t="shared" si="3"/>
        <v>md "D:\$MainSitePFin\jainlibrary\jain\Gujarati\Aagams\Upang Aagam\3- JeevaJeevabhigam Sutra"</v>
      </c>
      <c r="K22" t="str">
        <f t="shared" si="4"/>
        <v>r"D:\$MainSitePFin\jainlibrary\jain\Gujarati\Aagams\Upang Aagam\3- JeevaJeevabhigam Sutra\3- JeevaJeevabhigam Sutra.html",</v>
      </c>
    </row>
    <row r="23" spans="1:11" x14ac:dyDescent="0.25">
      <c r="A23">
        <f t="shared" si="5"/>
        <v>22</v>
      </c>
      <c r="B23" t="s">
        <v>32</v>
      </c>
      <c r="C23" t="s">
        <v>29</v>
      </c>
      <c r="D23" t="s">
        <v>65</v>
      </c>
      <c r="E23" t="s">
        <v>10</v>
      </c>
      <c r="F23" t="s">
        <v>63</v>
      </c>
      <c r="G23" t="str">
        <f t="shared" si="0"/>
        <v>Gujarati/Aagams/Upang Aagam/4- Pannavanna Sutra Part 1/4- Pannavanna Sutra Part 1.html</v>
      </c>
      <c r="H23" t="str">
        <f t="shared" si="1"/>
        <v>EPUB/4- Pannavanna Sutra Part 1.epub</v>
      </c>
      <c r="I23" t="str">
        <f t="shared" si="2"/>
        <v>PDF/4- Pannavanna Sutra Part 1.pdf</v>
      </c>
      <c r="J23" s="1" t="str">
        <f t="shared" si="3"/>
        <v>md "D:\$MainSitePFin\jainlibrary\jain\Gujarati\Aagams\Upang Aagam\4- Pannavanna Sutra Part 1"</v>
      </c>
      <c r="K23" t="str">
        <f t="shared" si="4"/>
        <v>r"D:\$MainSitePFin\jainlibrary\jain\Gujarati\Aagams\Upang Aagam\4- Pannavanna Sutra Part 1\4- Pannavanna Sutra Part 1.html",</v>
      </c>
    </row>
    <row r="24" spans="1:11" x14ac:dyDescent="0.25">
      <c r="A24">
        <f t="shared" si="5"/>
        <v>23</v>
      </c>
      <c r="B24" t="s">
        <v>33</v>
      </c>
      <c r="C24" t="s">
        <v>29</v>
      </c>
      <c r="D24" t="s">
        <v>65</v>
      </c>
      <c r="E24" t="s">
        <v>10</v>
      </c>
      <c r="F24" t="s">
        <v>63</v>
      </c>
      <c r="G24" t="str">
        <f t="shared" si="0"/>
        <v>Gujarati/Aagams/Upang Aagam/4- Pannavanna Sutra Part 2/4- Pannavanna Sutra Part 2.html</v>
      </c>
      <c r="H24" t="str">
        <f t="shared" si="1"/>
        <v>EPUB/4- Pannavanna Sutra Part 2.epub</v>
      </c>
      <c r="I24" t="str">
        <f t="shared" si="2"/>
        <v>PDF/4- Pannavanna Sutra Part 2.pdf</v>
      </c>
      <c r="J24" s="1" t="str">
        <f t="shared" si="3"/>
        <v>md "D:\$MainSitePFin\jainlibrary\jain\Gujarati\Aagams\Upang Aagam\4- Pannavanna Sutra Part 2"</v>
      </c>
      <c r="K24" t="str">
        <f t="shared" si="4"/>
        <v>r"D:\$MainSitePFin\jainlibrary\jain\Gujarati\Aagams\Upang Aagam\4- Pannavanna Sutra Part 2\4- Pannavanna Sutra Part 2.html",</v>
      </c>
    </row>
    <row r="25" spans="1:11" x14ac:dyDescent="0.25">
      <c r="A25">
        <f t="shared" si="5"/>
        <v>24</v>
      </c>
      <c r="B25" t="s">
        <v>34</v>
      </c>
      <c r="C25" t="s">
        <v>29</v>
      </c>
      <c r="D25" t="s">
        <v>65</v>
      </c>
      <c r="E25" t="s">
        <v>10</v>
      </c>
      <c r="F25" t="s">
        <v>63</v>
      </c>
      <c r="G25" t="str">
        <f t="shared" si="0"/>
        <v>Gujarati/Aagams/Upang Aagam/4- Pannavanna Sutra Part 3/4- Pannavanna Sutra Part 3.html</v>
      </c>
      <c r="H25" t="str">
        <f t="shared" si="1"/>
        <v>EPUB/4- Pannavanna Sutra Part 3.epub</v>
      </c>
      <c r="I25" t="str">
        <f t="shared" si="2"/>
        <v>PDF/4- Pannavanna Sutra Part 3.pdf</v>
      </c>
      <c r="J25" s="1" t="str">
        <f t="shared" si="3"/>
        <v>md "D:\$MainSitePFin\jainlibrary\jain\Gujarati\Aagams\Upang Aagam\4- Pannavanna Sutra Part 3"</v>
      </c>
      <c r="K25" t="str">
        <f t="shared" si="4"/>
        <v>r"D:\$MainSitePFin\jainlibrary\jain\Gujarati\Aagams\Upang Aagam\4- Pannavanna Sutra Part 3\4- Pannavanna Sutra Part 3.html",</v>
      </c>
    </row>
    <row r="26" spans="1:11" x14ac:dyDescent="0.25">
      <c r="A26">
        <f t="shared" si="5"/>
        <v>25</v>
      </c>
      <c r="B26" t="s">
        <v>35</v>
      </c>
      <c r="C26" t="s">
        <v>29</v>
      </c>
      <c r="D26" t="s">
        <v>65</v>
      </c>
      <c r="E26" t="s">
        <v>10</v>
      </c>
      <c r="F26" t="s">
        <v>63</v>
      </c>
      <c r="G26" t="str">
        <f t="shared" si="0"/>
        <v>Gujarati/Aagams/Upang Aagam/5- Jambudhvip Sutra/5- Jambudhvip Sutra.html</v>
      </c>
      <c r="H26" t="str">
        <f t="shared" si="1"/>
        <v>EPUB/5- Jambudhvip Sutra.epub</v>
      </c>
      <c r="I26" t="str">
        <f t="shared" si="2"/>
        <v>PDF/5- Jambudhvip Sutra.pdf</v>
      </c>
      <c r="J26" s="1" t="str">
        <f t="shared" si="3"/>
        <v>md "D:\$MainSitePFin\jainlibrary\jain\Gujarati\Aagams\Upang Aagam\5- Jambudhvip Sutra"</v>
      </c>
      <c r="K26" t="str">
        <f t="shared" si="4"/>
        <v>r"D:\$MainSitePFin\jainlibrary\jain\Gujarati\Aagams\Upang Aagam\5- Jambudhvip Sutra\5- Jambudhvip Sutra.html",</v>
      </c>
    </row>
    <row r="27" spans="1:11" x14ac:dyDescent="0.25">
      <c r="A27">
        <f t="shared" si="5"/>
        <v>26</v>
      </c>
      <c r="B27" t="s">
        <v>36</v>
      </c>
      <c r="C27" t="s">
        <v>29</v>
      </c>
      <c r="D27" t="s">
        <v>65</v>
      </c>
      <c r="E27" t="s">
        <v>10</v>
      </c>
      <c r="F27" t="s">
        <v>63</v>
      </c>
      <c r="G27" t="str">
        <f t="shared" si="0"/>
        <v>Gujarati/Aagams/Upang Aagam/6- Surya Pragnapti, 7- Chandra Pragnapti Sutra/6- Surya Pragnapti, 7- Chandra Pragnapti Sutra.html</v>
      </c>
      <c r="H27" t="str">
        <f t="shared" si="1"/>
        <v>EPUB/6- Surya Pragnapti, 7- Chandra Pragnapti Sutra.epub</v>
      </c>
      <c r="I27" t="str">
        <f t="shared" si="2"/>
        <v>PDF/6- Surya Pragnapti, 7- Chandra Pragnapti Sutra.pdf</v>
      </c>
      <c r="J27" s="1" t="str">
        <f t="shared" si="3"/>
        <v>md "D:\$MainSitePFin\jainlibrary\jain\Gujarati\Aagams\Upang Aagam\6- Surya Pragnapti, 7- Chandra Pragnapti Sutra"</v>
      </c>
      <c r="K27" t="str">
        <f t="shared" si="4"/>
        <v>r"D:\$MainSitePFin\jainlibrary\jain\Gujarati\Aagams\Upang Aagam\6- Surya Pragnapti, 7- Chandra Pragnapti Sutra\6- Surya Pragnapti, 7- Chandra Pragnapti Sutra.html",</v>
      </c>
    </row>
    <row r="28" spans="1:11" x14ac:dyDescent="0.25">
      <c r="A28">
        <f t="shared" si="5"/>
        <v>27</v>
      </c>
      <c r="B28" t="s">
        <v>37</v>
      </c>
      <c r="C28" t="s">
        <v>29</v>
      </c>
      <c r="D28" t="s">
        <v>65</v>
      </c>
      <c r="E28" t="s">
        <v>10</v>
      </c>
      <c r="F28" t="s">
        <v>63</v>
      </c>
      <c r="G28" t="str">
        <f t="shared" si="0"/>
        <v>Gujarati/Aagams/Upang Aagam/8- Niryavalika, 9- Kalpavatansika, 10- Pushpika, 11- Pushpachulika, 12- Vrasnidasah Sutra/8- Niryavalika, 9- Kalpavatansika, 10- Pushpika, 11- Pushpachulika, 12- Vrasnidasah Sutra.html</v>
      </c>
      <c r="H28" t="str">
        <f t="shared" si="1"/>
        <v>EPUB/8- Niryavalika, 9- Kalpavatansika, 10- Pushpika, 11- Pushpachulika, 12- Vrasnidasah Sutra.epub</v>
      </c>
      <c r="I28" t="str">
        <f t="shared" si="2"/>
        <v>PDF/8- Niryavalika, 9- Kalpavatansika, 10- Pushpika, 11- Pushpachulika, 12- Vrasnidasah Sutra.pdf</v>
      </c>
      <c r="J28" s="1" t="str">
        <f t="shared" si="3"/>
        <v>md "D:\$MainSitePFin\jainlibrary\jain\Gujarati\Aagams\Upang Aagam\8- Niryavalika, 9- Kalpavatansika, 10- Pushpika, 11- Pushpachulika, 12- Vrasnidasah Sutra"</v>
      </c>
      <c r="K28" t="str">
        <f t="shared" si="4"/>
        <v>r"D:\$MainSitePFin\jainlibrary\jain\Gujarati\Aagams\Upang Aagam\8- Niryavalika, 9- Kalpavatansika, 10- Pushpika, 11- Pushpachulika, 12- Vrasnidasah Sutra\8- Niryavalika, 9- Kalpavatansika, 10- Pushpika, 11- Pushpachulika, 12- Vrasnidasah Sutra.html",</v>
      </c>
    </row>
    <row r="29" spans="1:11" x14ac:dyDescent="0.25">
      <c r="A29">
        <f t="shared" si="5"/>
        <v>28</v>
      </c>
      <c r="B29" t="s">
        <v>38</v>
      </c>
      <c r="C29" t="s">
        <v>39</v>
      </c>
      <c r="D29" t="s">
        <v>65</v>
      </c>
      <c r="E29" t="s">
        <v>10</v>
      </c>
      <c r="F29" t="s">
        <v>63</v>
      </c>
      <c r="G29" t="str">
        <f t="shared" si="0"/>
        <v>Gujarati/Aagams/Mool Sutras/1- Utaradhyayan Sutra Part 1/1- Utaradhyayan Sutra Part 1.html</v>
      </c>
      <c r="H29" t="str">
        <f t="shared" si="1"/>
        <v>EPUB/1- Utaradhyayan Sutra Part 1.epub</v>
      </c>
      <c r="I29" t="str">
        <f t="shared" si="2"/>
        <v>PDF/1- Utaradhyayan Sutra Part 1.pdf</v>
      </c>
      <c r="J29" s="1" t="str">
        <f t="shared" si="3"/>
        <v>md "D:\$MainSitePFin\jainlibrary\jain\Gujarati\Aagams\Mool Sutras\1- Utaradhyayan Sutra Part 1"</v>
      </c>
      <c r="K29" t="str">
        <f t="shared" si="4"/>
        <v>r"D:\$MainSitePFin\jainlibrary\jain\Gujarati\Aagams\Mool Sutras\1- Utaradhyayan Sutra Part 1\1- Utaradhyayan Sutra Part 1.html",</v>
      </c>
    </row>
    <row r="30" spans="1:11" x14ac:dyDescent="0.25">
      <c r="A30">
        <f t="shared" si="5"/>
        <v>29</v>
      </c>
      <c r="B30" t="s">
        <v>40</v>
      </c>
      <c r="C30" t="s">
        <v>39</v>
      </c>
      <c r="D30" t="s">
        <v>65</v>
      </c>
      <c r="E30" t="s">
        <v>10</v>
      </c>
      <c r="F30" t="s">
        <v>63</v>
      </c>
      <c r="G30" t="str">
        <f t="shared" si="0"/>
        <v>Gujarati/Aagams/Mool Sutras/1- Utaradhyayan Sutra Part 2/1- Utaradhyayan Sutra Part 2.html</v>
      </c>
      <c r="H30" t="str">
        <f t="shared" si="1"/>
        <v>EPUB/1- Utaradhyayan Sutra Part 2.epub</v>
      </c>
      <c r="I30" t="str">
        <f t="shared" si="2"/>
        <v>PDF/1- Utaradhyayan Sutra Part 2.pdf</v>
      </c>
      <c r="J30" s="1" t="str">
        <f t="shared" si="3"/>
        <v>md "D:\$MainSitePFin\jainlibrary\jain\Gujarati\Aagams\Mool Sutras\1- Utaradhyayan Sutra Part 2"</v>
      </c>
      <c r="K30" t="str">
        <f t="shared" si="4"/>
        <v>r"D:\$MainSitePFin\jainlibrary\jain\Gujarati\Aagams\Mool Sutras\1- Utaradhyayan Sutra Part 2\1- Utaradhyayan Sutra Part 2.html",</v>
      </c>
    </row>
    <row r="31" spans="1:11" x14ac:dyDescent="0.25">
      <c r="A31">
        <f t="shared" si="5"/>
        <v>30</v>
      </c>
      <c r="B31" t="s">
        <v>41</v>
      </c>
      <c r="C31" t="s">
        <v>39</v>
      </c>
      <c r="D31" t="s">
        <v>65</v>
      </c>
      <c r="E31" t="s">
        <v>10</v>
      </c>
      <c r="F31" t="s">
        <v>63</v>
      </c>
      <c r="G31" t="str">
        <f t="shared" si="0"/>
        <v>Gujarati/Aagams/Mool Sutras/2 - Dasvaikalika Sutra/2 - Dasvaikalika Sutra.html</v>
      </c>
      <c r="H31" t="str">
        <f t="shared" si="1"/>
        <v>EPUB/2 - Dasvaikalika Sutra.epub</v>
      </c>
      <c r="I31" t="str">
        <f t="shared" si="2"/>
        <v>PDF/2 - Dasvaikalika Sutra.pdf</v>
      </c>
      <c r="J31" s="1" t="str">
        <f t="shared" si="3"/>
        <v>md "D:\$MainSitePFin\jainlibrary\jain\Gujarati\Aagams\Mool Sutras\2 - Dasvaikalika Sutra"</v>
      </c>
      <c r="K31" t="str">
        <f t="shared" si="4"/>
        <v>r"D:\$MainSitePFin\jainlibrary\jain\Gujarati\Aagams\Mool Sutras\2 - Dasvaikalika Sutra\2 - Dasvaikalika Sutra.html",</v>
      </c>
    </row>
    <row r="32" spans="1:11" x14ac:dyDescent="0.25">
      <c r="A32">
        <f t="shared" si="5"/>
        <v>31</v>
      </c>
      <c r="B32" t="s">
        <v>42</v>
      </c>
      <c r="C32" t="s">
        <v>39</v>
      </c>
      <c r="D32" t="s">
        <v>65</v>
      </c>
      <c r="E32" t="s">
        <v>10</v>
      </c>
      <c r="F32" t="s">
        <v>63</v>
      </c>
      <c r="G32" t="str">
        <f t="shared" si="0"/>
        <v>Gujarati/Aagams/Mool Sutras/3- Nandi Sutra/3- Nandi Sutra.html</v>
      </c>
      <c r="H32" t="str">
        <f t="shared" si="1"/>
        <v>EPUB/3- Nandi Sutra.epub</v>
      </c>
      <c r="I32" t="str">
        <f t="shared" si="2"/>
        <v>PDF/3- Nandi Sutra.pdf</v>
      </c>
      <c r="J32" s="1" t="str">
        <f t="shared" si="3"/>
        <v>md "D:\$MainSitePFin\jainlibrary\jain\Gujarati\Aagams\Mool Sutras\3- Nandi Sutra"</v>
      </c>
      <c r="K32" t="str">
        <f t="shared" si="4"/>
        <v>r"D:\$MainSitePFin\jainlibrary\jain\Gujarati\Aagams\Mool Sutras\3- Nandi Sutra\3- Nandi Sutra.html",</v>
      </c>
    </row>
    <row r="33" spans="1:12" x14ac:dyDescent="0.25">
      <c r="A33">
        <f t="shared" si="5"/>
        <v>32</v>
      </c>
      <c r="B33" t="s">
        <v>43</v>
      </c>
      <c r="C33" t="s">
        <v>39</v>
      </c>
      <c r="D33" t="s">
        <v>65</v>
      </c>
      <c r="E33" t="s">
        <v>10</v>
      </c>
      <c r="F33" t="s">
        <v>63</v>
      </c>
      <c r="G33" t="str">
        <f t="shared" si="0"/>
        <v>Gujarati/Aagams/Mool Sutras/4- Anuyogdwar Sutra/4- Anuyogdwar Sutra.html</v>
      </c>
      <c r="H33" t="str">
        <f t="shared" si="1"/>
        <v>EPUB/4- Anuyogdwar Sutra.epub</v>
      </c>
      <c r="I33" t="str">
        <f t="shared" si="2"/>
        <v>PDF/4- Anuyogdwar Sutra.pdf</v>
      </c>
      <c r="J33" s="1" t="str">
        <f t="shared" si="3"/>
        <v>md "D:\$MainSitePFin\jainlibrary\jain\Gujarati\Aagams\Mool Sutras\4- Anuyogdwar Sutra"</v>
      </c>
      <c r="K33" t="str">
        <f t="shared" si="4"/>
        <v>r"D:\$MainSitePFin\jainlibrary\jain\Gujarati\Aagams\Mool Sutras\4- Anuyogdwar Sutra\4- Anuyogdwar Sutra.html",</v>
      </c>
    </row>
    <row r="34" spans="1:12" x14ac:dyDescent="0.25">
      <c r="A34">
        <f t="shared" si="5"/>
        <v>33</v>
      </c>
      <c r="B34" t="s">
        <v>44</v>
      </c>
      <c r="C34" t="s">
        <v>45</v>
      </c>
      <c r="D34" t="s">
        <v>65</v>
      </c>
      <c r="E34" t="s">
        <v>10</v>
      </c>
      <c r="F34" t="s">
        <v>63</v>
      </c>
      <c r="G34" t="str">
        <f t="shared" si="0"/>
        <v>Gujarati/Aagams/Chhed Sutras/1- Nishith Sutra/1- Nishith Sutra.html</v>
      </c>
      <c r="H34" t="str">
        <f t="shared" si="1"/>
        <v>EPUB/1- Nishith Sutra.epub</v>
      </c>
      <c r="I34" t="str">
        <f t="shared" si="2"/>
        <v>PDF/1- Nishith Sutra.pdf</v>
      </c>
      <c r="J34" s="1" t="str">
        <f t="shared" si="3"/>
        <v>md "D:\$MainSitePFin\jainlibrary\jain\Gujarati\Aagams\Chhed Sutras\1- Nishith Sutra"</v>
      </c>
      <c r="K34" t="str">
        <f t="shared" si="4"/>
        <v>r"D:\$MainSitePFin\jainlibrary\jain\Gujarati\Aagams\Chhed Sutras\1- Nishith Sutra\1- Nishith Sutra.html",</v>
      </c>
    </row>
    <row r="35" spans="1:12" x14ac:dyDescent="0.25">
      <c r="A35">
        <f t="shared" si="5"/>
        <v>34</v>
      </c>
      <c r="B35" t="s">
        <v>46</v>
      </c>
      <c r="C35" t="s">
        <v>45</v>
      </c>
      <c r="D35" t="s">
        <v>65</v>
      </c>
      <c r="E35" t="s">
        <v>10</v>
      </c>
      <c r="F35" t="s">
        <v>63</v>
      </c>
      <c r="G35" t="str">
        <f t="shared" si="0"/>
        <v>Gujarati/Aagams/Chhed Sutras/2- Dashashrut, 3- Bruhatkalpa, 4- Vyavahar Sutra/2- Dashashrut, 3- Bruhatkalpa, 4- Vyavahar Sutra.html</v>
      </c>
      <c r="H35" t="str">
        <f t="shared" si="1"/>
        <v>EPUB/2- Dashashrut, 3- Bruhatkalpa, 4- Vyavahar Sutra.epub</v>
      </c>
      <c r="I35" t="str">
        <f t="shared" si="2"/>
        <v>PDF/2- Dashashrut, 3- Bruhatkalpa, 4- Vyavahar Sutra.pdf</v>
      </c>
      <c r="J35" s="1" t="str">
        <f t="shared" si="3"/>
        <v>md "D:\$MainSitePFin\jainlibrary\jain\Gujarati\Aagams\Chhed Sutras\2- Dashashrut, 3- Bruhatkalpa, 4- Vyavahar Sutra"</v>
      </c>
      <c r="K35" t="str">
        <f t="shared" si="4"/>
        <v>r"D:\$MainSitePFin\jainlibrary\jain\Gujarati\Aagams\Chhed Sutras\2- Dashashrut, 3- Bruhatkalpa, 4- Vyavahar Sutra\2- Dashashrut, 3- Bruhatkalpa, 4- Vyavahar Sutra.html",</v>
      </c>
    </row>
    <row r="36" spans="1:12" x14ac:dyDescent="0.25">
      <c r="A36">
        <f t="shared" si="5"/>
        <v>35</v>
      </c>
      <c r="B36" t="s">
        <v>47</v>
      </c>
      <c r="C36" t="s">
        <v>45</v>
      </c>
      <c r="D36" t="s">
        <v>65</v>
      </c>
      <c r="E36" t="s">
        <v>10</v>
      </c>
      <c r="F36" t="s">
        <v>63</v>
      </c>
      <c r="G36" t="str">
        <f t="shared" si="0"/>
        <v>Gujarati/Aagams/Chhed Sutras/Aavasyaka Sutra/Aavasyaka Sutra.html</v>
      </c>
      <c r="H36" t="str">
        <f t="shared" si="1"/>
        <v>EPUB/Aavasyaka Sutra.epub</v>
      </c>
      <c r="I36" t="str">
        <f t="shared" si="2"/>
        <v>PDF/Aavasyaka Sutra.pdf</v>
      </c>
      <c r="J36" s="1" t="str">
        <f t="shared" si="3"/>
        <v>md "D:\$MainSitePFin\jainlibrary\jain\Gujarati\Aagams\Chhed Sutras\Aavasyaka Sutra"</v>
      </c>
      <c r="K36" t="str">
        <f t="shared" si="4"/>
        <v>r"D:\$MainSitePFin\jainlibrary\jain\Gujarati\Aagams\Chhed Sutras\Aavasyaka Sutra\Aavasyaka Sutra.html",</v>
      </c>
    </row>
    <row r="37" spans="1:12" x14ac:dyDescent="0.25">
      <c r="A37">
        <f t="shared" si="5"/>
        <v>36</v>
      </c>
      <c r="B37" t="s">
        <v>48</v>
      </c>
      <c r="C37" t="s">
        <v>51</v>
      </c>
      <c r="D37" t="s">
        <v>50</v>
      </c>
      <c r="E37" t="s">
        <v>10</v>
      </c>
      <c r="F37" t="s">
        <v>51</v>
      </c>
      <c r="G37" t="str">
        <f t="shared" si="0"/>
        <v>Gujarati/Subodhiben Masalia/QnA/Prashnottar Ratnamala Part 1/Prashnottar Ratnamala Part 1.html</v>
      </c>
      <c r="H37" t="str">
        <f t="shared" si="1"/>
        <v>EPUB/Prashnottar Ratnamala Part 1.epub</v>
      </c>
      <c r="I37" t="str">
        <f t="shared" si="2"/>
        <v>PDF/Prashnottar Ratnamala Part 1.pdf</v>
      </c>
      <c r="J37" s="1" t="str">
        <f t="shared" si="3"/>
        <v>md "D:\$MainSitePFin\jainlibrary\jain\Gujarati\Subodhiben Masalia\QnA\Prashnottar Ratnamala Part 1"</v>
      </c>
      <c r="K37" t="str">
        <f t="shared" si="4"/>
        <v>r"D:\$MainSitePFin\jainlibrary\jain\Gujarati\Subodhiben Masalia\QnA\Prashnottar Ratnamala Part 1\Prashnottar Ratnamala Part 1.html",</v>
      </c>
    </row>
    <row r="38" spans="1:12" x14ac:dyDescent="0.25">
      <c r="A38">
        <f t="shared" si="5"/>
        <v>37</v>
      </c>
      <c r="B38" t="s">
        <v>52</v>
      </c>
      <c r="C38" t="s">
        <v>51</v>
      </c>
      <c r="D38" t="s">
        <v>50</v>
      </c>
      <c r="E38" t="s">
        <v>10</v>
      </c>
      <c r="F38" t="s">
        <v>51</v>
      </c>
      <c r="G38" t="str">
        <f t="shared" si="0"/>
        <v>Gujarati/Subodhiben Masalia/QnA/Prashnottar Ratnamala Part 2/Prashnottar Ratnamala Part 2.html</v>
      </c>
      <c r="H38" t="str">
        <f t="shared" si="1"/>
        <v>EPUB/Prashnottar Ratnamala Part 2.epub</v>
      </c>
      <c r="I38" t="str">
        <f t="shared" si="2"/>
        <v>PDF/Prashnottar Ratnamala Part 2.pdf</v>
      </c>
      <c r="J38" s="1" t="str">
        <f t="shared" si="3"/>
        <v>md "D:\$MainSitePFin\jainlibrary\jain\Gujarati\Subodhiben Masalia\QnA\Prashnottar Ratnamala Part 2"</v>
      </c>
      <c r="K38" t="str">
        <f t="shared" si="4"/>
        <v>r"D:\$MainSitePFin\jainlibrary\jain\Gujarati\Subodhiben Masalia\QnA\Prashnottar Ratnamala Part 2\Prashnottar Ratnamala Part 2.html",</v>
      </c>
    </row>
    <row r="39" spans="1:12" x14ac:dyDescent="0.25">
      <c r="A39">
        <f t="shared" si="5"/>
        <v>38</v>
      </c>
      <c r="B39" t="s">
        <v>66</v>
      </c>
      <c r="C39" t="s">
        <v>51</v>
      </c>
      <c r="D39" t="s">
        <v>50</v>
      </c>
      <c r="E39" t="s">
        <v>10</v>
      </c>
      <c r="F39" t="s">
        <v>51</v>
      </c>
      <c r="G39" t="str">
        <f t="shared" si="0"/>
        <v>Gujarati/Subodhiben Masalia/QnA/Prashnottar Ratnamala Part 3/Prashnottar Ratnamala Part 3.html</v>
      </c>
      <c r="H39" t="str">
        <f t="shared" si="1"/>
        <v>EPUB/Prashnottar Ratnamala Part 3.epub</v>
      </c>
      <c r="I39" t="str">
        <f t="shared" si="2"/>
        <v>PDF/Prashnottar Ratnamala Part 3.pdf</v>
      </c>
      <c r="J39" s="1" t="str">
        <f t="shared" si="3"/>
        <v>md "D:\$MainSitePFin\jainlibrary\jain\Gujarati\Subodhiben Masalia\QnA\Prashnottar Ratnamala Part 3"</v>
      </c>
      <c r="K39" t="str">
        <f t="shared" si="4"/>
        <v>r"D:\$MainSitePFin\jainlibrary\jain\Gujarati\Subodhiben Masalia\QnA\Prashnottar Ratnamala Part 3\Prashnottar Ratnamala Part 3.html",</v>
      </c>
    </row>
    <row r="40" spans="1:12" x14ac:dyDescent="0.25">
      <c r="A40">
        <f t="shared" si="5"/>
        <v>39</v>
      </c>
      <c r="B40" t="s">
        <v>53</v>
      </c>
      <c r="C40" t="s">
        <v>49</v>
      </c>
      <c r="D40" t="s">
        <v>54</v>
      </c>
      <c r="E40" t="s">
        <v>55</v>
      </c>
      <c r="F40" t="s">
        <v>56</v>
      </c>
      <c r="G40" t="str">
        <f t="shared" si="0"/>
        <v>English/Vijay K Jain/Explaination/Atmanusasana - Precept on the Soul/Atmanusasana - Precept on the Soul.html</v>
      </c>
      <c r="H40" t="str">
        <f t="shared" si="1"/>
        <v>EPUB/Atmanusasana - Precept on the Soul.epub</v>
      </c>
      <c r="I40" t="str">
        <f t="shared" si="2"/>
        <v>PDF/Atmanusasana - Precept on the Soul.pdf</v>
      </c>
      <c r="J40" s="1" t="str">
        <f t="shared" si="3"/>
        <v>md "D:\$MainSitePFin\jainlibrary\jain\English\Vijay K Jain\Explaination\Atmanusasana - Precept on the Soul"</v>
      </c>
      <c r="K40" t="str">
        <f t="shared" si="4"/>
        <v>r"D:\$MainSitePFin\jainlibrary\jain\English\Vijay K Jain\Explaination\Atmanusasana - Precept on the Soul\Atmanusasana - Precept on the Soul.html",</v>
      </c>
    </row>
    <row r="41" spans="1:12" x14ac:dyDescent="0.25">
      <c r="A41">
        <f t="shared" si="5"/>
        <v>40</v>
      </c>
      <c r="B41" t="s">
        <v>57</v>
      </c>
      <c r="C41" t="s">
        <v>49</v>
      </c>
      <c r="D41" t="s">
        <v>58</v>
      </c>
      <c r="E41" t="s">
        <v>10</v>
      </c>
      <c r="F41" t="s">
        <v>59</v>
      </c>
      <c r="G41" t="str">
        <f t="shared" si="0"/>
        <v>Gujarati/Buddisagar Suri/Explaination/Jain Christian Samvad - Jain Dharma ane khristi dharma no mukablo/Jain Christian Samvad - Jain Dharma ane khristi dharma no mukablo.html</v>
      </c>
      <c r="H41" t="str">
        <f t="shared" si="1"/>
        <v>EPUB/Jain Christian Samvad - Jain Dharma ane khristi dharma no mukablo.epub</v>
      </c>
      <c r="I41" t="str">
        <f t="shared" si="2"/>
        <v>PDF/Jain Christian Samvad - Jain Dharma ane khristi dharma no mukablo.pdf</v>
      </c>
      <c r="J41" s="1" t="str">
        <f t="shared" si="3"/>
        <v>md "D:\$MainSitePFin\jainlibrary\jain\Gujarati\Buddisagar Suri\Explaination\Jain Christian Samvad - Jain Dharma ane khristi dharma no mukablo"</v>
      </c>
      <c r="K41" t="str">
        <f t="shared" si="4"/>
        <v>r"D:\$MainSitePFin\jainlibrary\jain\Gujarati\Buddisagar Suri\Explaination\Jain Christian Samvad - Jain Dharma ane khristi dharma no mukablo\Jain Christian Samvad - Jain Dharma ane khristi dharma no mukablo.html",</v>
      </c>
    </row>
    <row r="42" spans="1:12" x14ac:dyDescent="0.25">
      <c r="A42">
        <f t="shared" si="5"/>
        <v>41</v>
      </c>
      <c r="B42" t="s">
        <v>60</v>
      </c>
      <c r="C42" t="s">
        <v>67</v>
      </c>
      <c r="D42" t="s">
        <v>68</v>
      </c>
      <c r="E42" t="s">
        <v>10</v>
      </c>
      <c r="F42" t="s">
        <v>61</v>
      </c>
      <c r="G42" t="str">
        <f t="shared" si="0"/>
        <v>Gujarati/Chandrakant Lodaya(JJS)/Tattvartha/Jain Vigyan Part 1 to 6/Jain Vigyan Part 1 to 6.html</v>
      </c>
      <c r="H42" t="str">
        <f t="shared" si="1"/>
        <v>EPUB/Jain Vigyan Part 1 to 6.epub</v>
      </c>
      <c r="I42" t="str">
        <f t="shared" si="2"/>
        <v>PDF/Jain Vigyan Part 1 to 6.pdf</v>
      </c>
      <c r="J42" s="1" t="str">
        <f t="shared" si="3"/>
        <v>md "D:\$MainSitePFin\jainlibrary\jain\Gujarati\Chandrakant Lodaya(JJS)\Tattvartha\Jain Vigyan Part 1 to 6"</v>
      </c>
      <c r="K42" t="str">
        <f t="shared" si="4"/>
        <v>r"D:\$MainSitePFin\jainlibrary\jain\Gujarati\Chandrakant Lodaya(JJS)\Tattvartha\Jain Vigyan Part 1 to 6\Jain Vigyan Part 1 to 6.html",</v>
      </c>
    </row>
    <row r="43" spans="1:12" x14ac:dyDescent="0.25">
      <c r="A43">
        <v>42</v>
      </c>
      <c r="B43" t="s">
        <v>69</v>
      </c>
      <c r="C43" t="s">
        <v>70</v>
      </c>
      <c r="D43" t="s">
        <v>71</v>
      </c>
      <c r="E43" t="s">
        <v>72</v>
      </c>
      <c r="F43" t="s">
        <v>73</v>
      </c>
      <c r="G43" t="str">
        <f t="shared" si="0"/>
        <v>Sanskrit/Mantungasuri/Sutra/Bhaktaamar Saartha/Bhaktaamar Saartha.html</v>
      </c>
      <c r="H43" t="str">
        <f t="shared" si="1"/>
        <v>EPUB/Bhaktaamar Saartha.epub</v>
      </c>
      <c r="I43" t="str">
        <f t="shared" si="2"/>
        <v>PDF/Bhaktaamar Saartha.pdf</v>
      </c>
      <c r="J43" s="1" t="str">
        <f t="shared" si="3"/>
        <v>md "D:\$MainSitePFin\jainlibrary\jain\Sanskrit\Mantungasuri\Sutra\Bhaktaamar Saartha"</v>
      </c>
      <c r="K43" t="str">
        <f t="shared" si="4"/>
        <v>r"D:\$MainSitePFin\jainlibrary\jain\Sanskrit\Mantungasuri\Sutra\Bhaktaamar Saartha\Bhaktaamar Saartha.html",</v>
      </c>
    </row>
    <row r="47" spans="1:12" x14ac:dyDescent="0.25">
      <c r="K47" t="s">
        <v>74</v>
      </c>
      <c r="L47" t="str">
        <f>"r"&amp;K47&amp;","</f>
        <v>r"D:\$MainSitePFin\jainlibrary\jain\Gujarati\Aagams\Aanga Aagam\1-Acharanga Sutra Part 1\1-Acharanga Sutra Part 1.html",</v>
      </c>
    </row>
    <row r="48" spans="1:12" x14ac:dyDescent="0.25">
      <c r="K48" t="s">
        <v>75</v>
      </c>
      <c r="L48" t="str">
        <f t="shared" ref="L48:L53" si="6">"r"&amp;K48&amp;","</f>
        <v>r"D:\$MainSitePFin\jainlibrary\jain\Gujarati\Aagams\Aanga Aagam\1- Acharanga Sutra Part 2\1- Acharanga Sutra Part 2.html",</v>
      </c>
    </row>
    <row r="49" spans="11:12" x14ac:dyDescent="0.25">
      <c r="K49" t="s">
        <v>76</v>
      </c>
      <c r="L49" t="str">
        <f t="shared" si="6"/>
        <v>r"D:\$MainSitePFin\jainlibrary\jain\Gujarati\Subodhiben Masalia\QnA\Prashnottar Ratnamala Part 1\Prashnottar Ratnamala Part 1.html",</v>
      </c>
    </row>
    <row r="50" spans="11:12" x14ac:dyDescent="0.25">
      <c r="K50" t="s">
        <v>77</v>
      </c>
      <c r="L50" t="str">
        <f t="shared" si="6"/>
        <v>r"D:\$MainSitePFin\jainlibrary\jain\Gujarati\Subodhiben Masalia\QnA\Prashnottar Ratnamala Part 2\Prashnottar Ratnamala Part 2.html",</v>
      </c>
    </row>
    <row r="51" spans="11:12" x14ac:dyDescent="0.25">
      <c r="K51" t="s">
        <v>78</v>
      </c>
      <c r="L51" t="str">
        <f t="shared" si="6"/>
        <v>r"D:\$MainSitePFin\jainlibrary\jain\Gujarati\Subodhiben Masalia\QnA\Prashnottar Ratnamala Part 3\Prashnottar Ratnamala Part 3.html",</v>
      </c>
    </row>
    <row r="52" spans="11:12" x14ac:dyDescent="0.25">
      <c r="K52" t="s">
        <v>79</v>
      </c>
      <c r="L52" t="str">
        <f t="shared" si="6"/>
        <v>r"D:\$MainSitePFin\jainlibrary\jain\Gujarati\Buddisagar Suri\Explaination\Jain Christian Samvad - Jain Dharma ane khristi dharma no mukablo\Jain Christian Samvad - Jain Dharma ane khristi dharma no mukablo.html",</v>
      </c>
    </row>
    <row r="53" spans="11:12" x14ac:dyDescent="0.25">
      <c r="K53" t="s">
        <v>80</v>
      </c>
      <c r="L53" t="str">
        <f t="shared" si="6"/>
        <v>r"D:\$MainSitePFin\jainlibrary\jain\Gujarati\Chandrakant Lodaya(JJS)\Tattvartha\Jain Vigyan Part 1 to 6\Jain Vigyan Part 1 to 6.html",</v>
      </c>
    </row>
  </sheetData>
  <autoFilter ref="A1:I42" xr:uid="{00000000-0009-0000-0000-000000000000}"/>
  <phoneticPr fontId="1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Shah [MOGHO]</cp:lastModifiedBy>
  <dcterms:created xsi:type="dcterms:W3CDTF">2026-08-16T14:17:06Z</dcterms:created>
  <dcterms:modified xsi:type="dcterms:W3CDTF">2026-09-29T14:35:55Z</dcterms:modified>
</cp:coreProperties>
</file>